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wnloads\HUGO TSP UTP\"/>
    </mc:Choice>
  </mc:AlternateContent>
  <xr:revisionPtr revIDLastSave="0" documentId="13_ncr:1_{E9DBECB2-DA4F-4100-9BCC-B031381ABD3C}" xr6:coauthVersionLast="47" xr6:coauthVersionMax="47" xr10:uidLastSave="{00000000-0000-0000-0000-000000000000}"/>
  <bookViews>
    <workbookView xWindow="-120" yWindow="-120" windowWidth="29040" windowHeight="15720" tabRatio="500" xr2:uid="{00000000-000D-0000-FFFF-FFFF00000000}"/>
  </bookViews>
  <sheets>
    <sheet name="TEC"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71" i="1" l="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D82" i="1" s="1"/>
</calcChain>
</file>

<file path=xl/sharedStrings.xml><?xml version="1.0" encoding="utf-8"?>
<sst xmlns="http://schemas.openxmlformats.org/spreadsheetml/2006/main" count="123" uniqueCount="94">
  <si>
    <t>FICHA DE REGISTRO 3</t>
  </si>
  <si>
    <t>Tiempo de Emisión de Certificados (TEC)</t>
  </si>
  <si>
    <t>Investigador</t>
  </si>
  <si>
    <t>Tipo de Prueba</t>
  </si>
  <si>
    <t>Pretest</t>
  </si>
  <si>
    <t>Organización
Investigada</t>
  </si>
  <si>
    <t>Sociedad Peruana de Auditoría en Enfermería (SPAE)</t>
  </si>
  <si>
    <t>Indicador</t>
  </si>
  <si>
    <t>Tiempo de emisión de certificados (TEC)</t>
  </si>
  <si>
    <t>Objetivo
específico</t>
  </si>
  <si>
    <t>Determinar en qué medida la implementación de una aplicación web multiplataforma reduce las demoras en la entrega de certificados en la Sociedad Peruana de Auditoría en Enfermería.</t>
  </si>
  <si>
    <t>Capacitación
evaluada</t>
  </si>
  <si>
    <t>I Jornada Internacional de Auditoría de Enfermería</t>
  </si>
  <si>
    <t>Fecha de cierre</t>
  </si>
  <si>
    <t>27/08/2026</t>
  </si>
  <si>
    <t>LEYENDA</t>
  </si>
  <si>
    <t>Población: participantes que alcanzaron el nivel de asistencia acumulada exigido (Ficha NAA) Y que indicaron desear certificado en su registro de inscripción (Ficha TRC). La hora de cumplimiento corresponde al momento en que el equipo administrativo valida ambos requisitos, validación que se realiza de forma progresiva en los días hábiles posteriores al cierre del evento. La hora de emisión corresponde al envío del certificado. TECi se expresa en horas, redondeado a la hora entera.</t>
  </si>
  <si>
    <t>TABLA DE REGISTRO (población: participantes certificadas)</t>
  </si>
  <si>
    <t>N.°</t>
  </si>
  <si>
    <t>Código de participante</t>
  </si>
  <si>
    <t>Hora de cumplimiento</t>
  </si>
  <si>
    <t>Hora de emisión</t>
  </si>
  <si>
    <t>TECi (horas)</t>
  </si>
  <si>
    <t>P-001</t>
  </si>
  <si>
    <t>Pendiente</t>
  </si>
  <si>
    <t>P-002</t>
  </si>
  <si>
    <t>P-003</t>
  </si>
  <si>
    <t>P-004</t>
  </si>
  <si>
    <t>P-005</t>
  </si>
  <si>
    <t>P-007</t>
  </si>
  <si>
    <t>P-008</t>
  </si>
  <si>
    <t>P-009</t>
  </si>
  <si>
    <t>P-012</t>
  </si>
  <si>
    <t>P-014</t>
  </si>
  <si>
    <t>P-015</t>
  </si>
  <si>
    <t>P-017</t>
  </si>
  <si>
    <t>P-020</t>
  </si>
  <si>
    <t>P-021</t>
  </si>
  <si>
    <t>P-022</t>
  </si>
  <si>
    <t>P-023</t>
  </si>
  <si>
    <t>P-024</t>
  </si>
  <si>
    <t>P-027</t>
  </si>
  <si>
    <t>P-028</t>
  </si>
  <si>
    <t>P-029</t>
  </si>
  <si>
    <t>P-031</t>
  </si>
  <si>
    <t>P-032</t>
  </si>
  <si>
    <t>P-033</t>
  </si>
  <si>
    <t>P-034</t>
  </si>
  <si>
    <t>P-035</t>
  </si>
  <si>
    <t>P-036</t>
  </si>
  <si>
    <t>P-037</t>
  </si>
  <si>
    <t>P-040</t>
  </si>
  <si>
    <t>P-043</t>
  </si>
  <si>
    <t>P-045</t>
  </si>
  <si>
    <t>P-046</t>
  </si>
  <si>
    <t>P-047</t>
  </si>
  <si>
    <t>P-050</t>
  </si>
  <si>
    <t>P-051</t>
  </si>
  <si>
    <t>P-052</t>
  </si>
  <si>
    <t>P-053</t>
  </si>
  <si>
    <t>P-054</t>
  </si>
  <si>
    <t>P-055</t>
  </si>
  <si>
    <t>P-056</t>
  </si>
  <si>
    <t>P-057</t>
  </si>
  <si>
    <t>P-058</t>
  </si>
  <si>
    <t>P-059</t>
  </si>
  <si>
    <t>P-061</t>
  </si>
  <si>
    <t>P-062</t>
  </si>
  <si>
    <t>P-063</t>
  </si>
  <si>
    <t>P-064</t>
  </si>
  <si>
    <t>P-065</t>
  </si>
  <si>
    <t>P-067</t>
  </si>
  <si>
    <t>P-070</t>
  </si>
  <si>
    <t>P-071</t>
  </si>
  <si>
    <t>P-072</t>
  </si>
  <si>
    <t>P-073</t>
  </si>
  <si>
    <t>P-074</t>
  </si>
  <si>
    <t>P-076</t>
  </si>
  <si>
    <t>P-078</t>
  </si>
  <si>
    <t>P-079</t>
  </si>
  <si>
    <t>P-080</t>
  </si>
  <si>
    <t>Nota: la tabla contiene las participantes certificadas de esta capacitación.</t>
  </si>
  <si>
    <t>FÓRMULA</t>
  </si>
  <si>
    <t>Nivel</t>
  </si>
  <si>
    <t>Fórmula / Descripción</t>
  </si>
  <si>
    <t>Por participante</t>
  </si>
  <si>
    <t>TECi = Hora de emisión - Hora de cumplimiento (en horas)</t>
  </si>
  <si>
    <t>Por capacitación
(taller)</t>
  </si>
  <si>
    <t>TEC = Promedio (TECi) de todas las participantes certificadas</t>
  </si>
  <si>
    <t>Unidad: horas. Escala: razón. Prueba estadística: Kolmogorov-Smirnov y luego Wilcoxon o T de Student.</t>
  </si>
  <si>
    <t>RESULTADO DEL TALLER (promedio de la tabla)</t>
  </si>
  <si>
    <t>TEC del taller = promedio de la columna "TECi"</t>
  </si>
  <si>
    <t>Responsable del registro: ___________________________</t>
  </si>
  <si>
    <t>DATOS PRELIMINARES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</si>
</sst>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5" x14ac:knownFonts="1">
    <font>
      <sz val="11"/>
      <color theme="1"/>
      <name val="Calibri"/>
      <family val="2"/>
      <charset val="1"/>
    </font>
    <font>
      <b/>
      <sz val="14"/>
      <name val="Arial"/>
      <charset val="1"/>
    </font>
    <font>
      <b/>
      <sz val="11"/>
      <name val="Arial"/>
      <charset val="1"/>
    </font>
    <font>
      <sz val="11"/>
      <name val="Arial"/>
      <charset val="1"/>
    </font>
    <font>
      <i/>
      <sz val="9"/>
      <name val="Arial"/>
      <charset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3">
    <xf numFmtId="0" fontId="0" fillId="0" borderId="0" xfId="0"/>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xf>
    <xf numFmtId="0" fontId="2" fillId="0" borderId="0" xfId="0" applyFont="1" applyBorder="1" applyAlignment="1">
      <alignment horizontal="left" vertical="center"/>
    </xf>
    <xf numFmtId="0" fontId="2" fillId="0" borderId="3" xfId="0" applyFont="1" applyBorder="1" applyAlignment="1">
      <alignment horizontal="left" vertical="center" wrapText="1"/>
    </xf>
    <xf numFmtId="0" fontId="4" fillId="0" borderId="0" xfId="0" applyFont="1" applyBorder="1" applyAlignment="1">
      <alignment horizontal="left" vertical="center" wrapText="1"/>
    </xf>
    <xf numFmtId="0" fontId="2" fillId="0" borderId="2" xfId="0" applyFont="1" applyBorder="1" applyAlignment="1">
      <alignment horizontal="center" vertical="center"/>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2" fillId="0" borderId="0" xfId="0" applyFont="1" applyBorder="1" applyAlignment="1">
      <alignment horizontal="left" vertical="center" wrapText="1"/>
    </xf>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3" fillId="0" borderId="2" xfId="0" applyFont="1" applyBorder="1" applyAlignment="1">
      <alignment horizontal="left"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4"/>
  <sheetViews>
    <sheetView tabSelected="1" topLeftCell="A69" zoomScaleNormal="100" workbookViewId="0">
      <selection activeCell="H90" sqref="H90"/>
    </sheetView>
  </sheetViews>
  <sheetFormatPr baseColWidth="10" defaultColWidth="8.7109375" defaultRowHeight="15" x14ac:dyDescent="0.25"/>
  <cols>
    <col min="1" max="1" width="32.5703125" customWidth="1"/>
    <col min="2" max="2" width="19.28515625" customWidth="1"/>
    <col min="3" max="3" width="20" customWidth="1"/>
    <col min="4" max="4" width="24.7109375" customWidth="1"/>
    <col min="5" max="5" width="19.7109375" customWidth="1"/>
  </cols>
  <sheetData>
    <row r="1" spans="1:5" ht="18" x14ac:dyDescent="0.25">
      <c r="A1" s="19" t="s">
        <v>0</v>
      </c>
      <c r="B1" s="19"/>
      <c r="C1" s="19"/>
      <c r="D1" s="19"/>
      <c r="E1" s="19"/>
    </row>
    <row r="2" spans="1:5" x14ac:dyDescent="0.25">
      <c r="A2" s="20" t="s">
        <v>1</v>
      </c>
      <c r="B2" s="20"/>
      <c r="C2" s="20"/>
      <c r="D2" s="20"/>
      <c r="E2" s="20"/>
    </row>
    <row r="4" spans="1:5" x14ac:dyDescent="0.25">
      <c r="A4" s="1" t="s">
        <v>2</v>
      </c>
      <c r="B4" s="21"/>
      <c r="C4" s="21"/>
      <c r="D4" s="1" t="s">
        <v>3</v>
      </c>
      <c r="E4" s="2" t="s">
        <v>4</v>
      </c>
    </row>
    <row r="5" spans="1:5" ht="30" x14ac:dyDescent="0.25">
      <c r="A5" s="3" t="s">
        <v>5</v>
      </c>
      <c r="B5" s="21" t="s">
        <v>6</v>
      </c>
      <c r="C5" s="21"/>
      <c r="D5" s="21"/>
      <c r="E5" s="21"/>
    </row>
    <row r="6" spans="1:5" x14ac:dyDescent="0.25">
      <c r="A6" s="1" t="s">
        <v>7</v>
      </c>
      <c r="B6" s="21" t="s">
        <v>8</v>
      </c>
      <c r="C6" s="21"/>
      <c r="D6" s="21"/>
      <c r="E6" s="21"/>
    </row>
    <row r="7" spans="1:5" ht="39.75" customHeight="1" x14ac:dyDescent="0.25">
      <c r="A7" s="3" t="s">
        <v>9</v>
      </c>
      <c r="B7" s="16" t="s">
        <v>10</v>
      </c>
      <c r="C7" s="16"/>
      <c r="D7" s="16"/>
      <c r="E7" s="16"/>
    </row>
    <row r="8" spans="1:5" ht="30" x14ac:dyDescent="0.25">
      <c r="A8" s="3" t="s">
        <v>11</v>
      </c>
      <c r="B8" s="16" t="s">
        <v>12</v>
      </c>
      <c r="C8" s="16"/>
      <c r="D8" s="3" t="s">
        <v>13</v>
      </c>
      <c r="E8" s="2" t="s">
        <v>14</v>
      </c>
    </row>
    <row r="10" spans="1:5" x14ac:dyDescent="0.25">
      <c r="A10" s="12" t="s">
        <v>15</v>
      </c>
      <c r="B10" s="12"/>
      <c r="C10" s="12"/>
      <c r="D10" s="12"/>
      <c r="E10" s="12"/>
    </row>
    <row r="11" spans="1:5" ht="69.75" customHeight="1" x14ac:dyDescent="0.25">
      <c r="A11" s="17" t="s">
        <v>16</v>
      </c>
      <c r="B11" s="17"/>
      <c r="C11" s="17"/>
      <c r="D11" s="17"/>
      <c r="E11" s="17"/>
    </row>
    <row r="13" spans="1:5" ht="19.5" customHeight="1" x14ac:dyDescent="0.25">
      <c r="A13" s="18" t="s">
        <v>17</v>
      </c>
      <c r="B13" s="18"/>
      <c r="C13" s="18"/>
      <c r="D13" s="18"/>
      <c r="E13" s="18"/>
    </row>
    <row r="14" spans="1:5" ht="25.5" customHeight="1" x14ac:dyDescent="0.25">
      <c r="A14" s="4" t="s">
        <v>18</v>
      </c>
      <c r="B14" s="4" t="s">
        <v>19</v>
      </c>
      <c r="C14" s="4" t="s">
        <v>20</v>
      </c>
      <c r="D14" s="4" t="s">
        <v>21</v>
      </c>
      <c r="E14" s="4" t="s">
        <v>22</v>
      </c>
    </row>
    <row r="15" spans="1:5" x14ac:dyDescent="0.25">
      <c r="A15" s="5">
        <v>1</v>
      </c>
      <c r="B15" s="2" t="s">
        <v>23</v>
      </c>
      <c r="C15" s="6">
        <v>46265.5</v>
      </c>
      <c r="D15" s="7" t="s">
        <v>24</v>
      </c>
      <c r="E15" s="5" t="str">
        <f>"Pendiente"</f>
        <v>Pendiente</v>
      </c>
    </row>
    <row r="16" spans="1:5" x14ac:dyDescent="0.25">
      <c r="A16" s="5">
        <v>2</v>
      </c>
      <c r="B16" s="2" t="s">
        <v>25</v>
      </c>
      <c r="C16" s="6">
        <v>46267.416666666701</v>
      </c>
      <c r="D16" s="7" t="s">
        <v>24</v>
      </c>
      <c r="E16" s="5" t="str">
        <f>"Pendiente"</f>
        <v>Pendiente</v>
      </c>
    </row>
    <row r="17" spans="1:5" x14ac:dyDescent="0.25">
      <c r="A17" s="5">
        <v>3</v>
      </c>
      <c r="B17" s="2" t="s">
        <v>26</v>
      </c>
      <c r="C17" s="6">
        <v>46266.5</v>
      </c>
      <c r="D17" s="6">
        <v>46267.666666666701</v>
      </c>
      <c r="E17" s="5">
        <f>ROUND((D17-C17)*24,0)</f>
        <v>28</v>
      </c>
    </row>
    <row r="18" spans="1:5" x14ac:dyDescent="0.25">
      <c r="A18" s="5">
        <v>4</v>
      </c>
      <c r="B18" s="2" t="s">
        <v>27</v>
      </c>
      <c r="C18" s="6">
        <v>46266.458333333299</v>
      </c>
      <c r="D18" s="7" t="s">
        <v>24</v>
      </c>
      <c r="E18" s="5" t="str">
        <f>"Pendiente"</f>
        <v>Pendiente</v>
      </c>
    </row>
    <row r="19" spans="1:5" x14ac:dyDescent="0.25">
      <c r="A19" s="5">
        <v>5</v>
      </c>
      <c r="B19" s="2" t="s">
        <v>28</v>
      </c>
      <c r="C19" s="6">
        <v>46266.625</v>
      </c>
      <c r="D19" s="6">
        <v>46267.625</v>
      </c>
      <c r="E19" s="5">
        <f>ROUND((D19-C19)*24,0)</f>
        <v>24</v>
      </c>
    </row>
    <row r="20" spans="1:5" x14ac:dyDescent="0.25">
      <c r="A20" s="5">
        <v>6</v>
      </c>
      <c r="B20" s="2" t="s">
        <v>29</v>
      </c>
      <c r="C20" s="6">
        <v>46265.5</v>
      </c>
      <c r="D20" s="6">
        <v>46266.708333333299</v>
      </c>
      <c r="E20" s="5">
        <f>ROUND((D20-C20)*24,0)</f>
        <v>29</v>
      </c>
    </row>
    <row r="21" spans="1:5" x14ac:dyDescent="0.25">
      <c r="A21" s="5">
        <v>7</v>
      </c>
      <c r="B21" s="2" t="s">
        <v>30</v>
      </c>
      <c r="C21" s="6">
        <v>46265.5</v>
      </c>
      <c r="D21" s="7" t="s">
        <v>24</v>
      </c>
      <c r="E21" s="5" t="str">
        <f>"Pendiente"</f>
        <v>Pendiente</v>
      </c>
    </row>
    <row r="22" spans="1:5" x14ac:dyDescent="0.25">
      <c r="A22" s="5">
        <v>8</v>
      </c>
      <c r="B22" s="2" t="s">
        <v>31</v>
      </c>
      <c r="C22" s="6">
        <v>46262.375</v>
      </c>
      <c r="D22" s="7" t="s">
        <v>24</v>
      </c>
      <c r="E22" s="5" t="str">
        <f>"Pendiente"</f>
        <v>Pendiente</v>
      </c>
    </row>
    <row r="23" spans="1:5" x14ac:dyDescent="0.25">
      <c r="A23" s="5">
        <v>9</v>
      </c>
      <c r="B23" s="2" t="s">
        <v>32</v>
      </c>
      <c r="C23" s="6">
        <v>46267.708333333299</v>
      </c>
      <c r="D23" s="7" t="s">
        <v>24</v>
      </c>
      <c r="E23" s="5" t="str">
        <f>"Pendiente"</f>
        <v>Pendiente</v>
      </c>
    </row>
    <row r="24" spans="1:5" x14ac:dyDescent="0.25">
      <c r="A24" s="5">
        <v>10</v>
      </c>
      <c r="B24" s="2" t="s">
        <v>33</v>
      </c>
      <c r="C24" s="6">
        <v>46267.708333333299</v>
      </c>
      <c r="D24" s="7" t="s">
        <v>24</v>
      </c>
      <c r="E24" s="5" t="str">
        <f>"Pendiente"</f>
        <v>Pendiente</v>
      </c>
    </row>
    <row r="25" spans="1:5" x14ac:dyDescent="0.25">
      <c r="A25" s="5">
        <v>11</v>
      </c>
      <c r="B25" s="2" t="s">
        <v>34</v>
      </c>
      <c r="C25" s="6">
        <v>46267.708333333299</v>
      </c>
      <c r="D25" s="7" t="s">
        <v>24</v>
      </c>
      <c r="E25" s="5" t="str">
        <f>"Pendiente"</f>
        <v>Pendiente</v>
      </c>
    </row>
    <row r="26" spans="1:5" x14ac:dyDescent="0.25">
      <c r="A26" s="5">
        <v>12</v>
      </c>
      <c r="B26" s="2" t="s">
        <v>35</v>
      </c>
      <c r="C26" s="6">
        <v>46262.375</v>
      </c>
      <c r="D26" s="6">
        <v>46266.625</v>
      </c>
      <c r="E26" s="5">
        <f>ROUND((D26-C26)*24,0)</f>
        <v>102</v>
      </c>
    </row>
    <row r="27" spans="1:5" x14ac:dyDescent="0.25">
      <c r="A27" s="5">
        <v>13</v>
      </c>
      <c r="B27" s="2" t="s">
        <v>36</v>
      </c>
      <c r="C27" s="6">
        <v>46265.458333333299</v>
      </c>
      <c r="D27" s="6">
        <v>46267.75</v>
      </c>
      <c r="E27" s="5">
        <f>ROUND((D27-C27)*24,0)</f>
        <v>55</v>
      </c>
    </row>
    <row r="28" spans="1:5" x14ac:dyDescent="0.25">
      <c r="A28" s="5">
        <v>14</v>
      </c>
      <c r="B28" s="2" t="s">
        <v>37</v>
      </c>
      <c r="C28" s="6">
        <v>46266.666666666701</v>
      </c>
      <c r="D28" s="7" t="s">
        <v>24</v>
      </c>
      <c r="E28" s="5" t="str">
        <f>"Pendiente"</f>
        <v>Pendiente</v>
      </c>
    </row>
    <row r="29" spans="1:5" x14ac:dyDescent="0.25">
      <c r="A29" s="5">
        <v>15</v>
      </c>
      <c r="B29" s="2" t="s">
        <v>38</v>
      </c>
      <c r="C29" s="6">
        <v>46266.625</v>
      </c>
      <c r="D29" s="7" t="s">
        <v>24</v>
      </c>
      <c r="E29" s="5" t="str">
        <f>"Pendiente"</f>
        <v>Pendiente</v>
      </c>
    </row>
    <row r="30" spans="1:5" x14ac:dyDescent="0.25">
      <c r="A30" s="5">
        <v>16</v>
      </c>
      <c r="B30" s="2" t="s">
        <v>39</v>
      </c>
      <c r="C30" s="6">
        <v>46267.625</v>
      </c>
      <c r="D30" s="7" t="s">
        <v>24</v>
      </c>
      <c r="E30" s="5" t="str">
        <f>"Pendiente"</f>
        <v>Pendiente</v>
      </c>
    </row>
    <row r="31" spans="1:5" x14ac:dyDescent="0.25">
      <c r="A31" s="5">
        <v>17</v>
      </c>
      <c r="B31" s="2" t="s">
        <v>40</v>
      </c>
      <c r="C31" s="6">
        <v>46266.375</v>
      </c>
      <c r="D31" s="7" t="s">
        <v>24</v>
      </c>
      <c r="E31" s="5" t="str">
        <f>"Pendiente"</f>
        <v>Pendiente</v>
      </c>
    </row>
    <row r="32" spans="1:5" x14ac:dyDescent="0.25">
      <c r="A32" s="5">
        <v>18</v>
      </c>
      <c r="B32" s="2" t="s">
        <v>41</v>
      </c>
      <c r="C32" s="6">
        <v>46265.5</v>
      </c>
      <c r="D32" s="6">
        <v>46267.458333333299</v>
      </c>
      <c r="E32" s="5">
        <f>ROUND((D32-C32)*24,0)</f>
        <v>47</v>
      </c>
    </row>
    <row r="33" spans="1:5" x14ac:dyDescent="0.25">
      <c r="A33" s="5">
        <v>19</v>
      </c>
      <c r="B33" s="2" t="s">
        <v>42</v>
      </c>
      <c r="C33" s="6">
        <v>46262.375</v>
      </c>
      <c r="D33" s="7" t="s">
        <v>24</v>
      </c>
      <c r="E33" s="5" t="str">
        <f>"Pendiente"</f>
        <v>Pendiente</v>
      </c>
    </row>
    <row r="34" spans="1:5" x14ac:dyDescent="0.25">
      <c r="A34" s="5">
        <v>20</v>
      </c>
      <c r="B34" s="2" t="s">
        <v>43</v>
      </c>
      <c r="C34" s="6">
        <v>46265.416666666701</v>
      </c>
      <c r="D34" s="7" t="s">
        <v>24</v>
      </c>
      <c r="E34" s="5" t="str">
        <f>"Pendiente"</f>
        <v>Pendiente</v>
      </c>
    </row>
    <row r="35" spans="1:5" x14ac:dyDescent="0.25">
      <c r="A35" s="5">
        <v>21</v>
      </c>
      <c r="B35" s="2" t="s">
        <v>44</v>
      </c>
      <c r="C35" s="6">
        <v>46265.458333333299</v>
      </c>
      <c r="D35" s="6">
        <v>46266.458333333299</v>
      </c>
      <c r="E35" s="5">
        <f>ROUND((D35-C35)*24,0)</f>
        <v>24</v>
      </c>
    </row>
    <row r="36" spans="1:5" x14ac:dyDescent="0.25">
      <c r="A36" s="5">
        <v>22</v>
      </c>
      <c r="B36" s="2" t="s">
        <v>45</v>
      </c>
      <c r="C36" s="6">
        <v>46267.416666666701</v>
      </c>
      <c r="D36" s="7" t="s">
        <v>24</v>
      </c>
      <c r="E36" s="5" t="str">
        <f>"Pendiente"</f>
        <v>Pendiente</v>
      </c>
    </row>
    <row r="37" spans="1:5" x14ac:dyDescent="0.25">
      <c r="A37" s="5">
        <v>23</v>
      </c>
      <c r="B37" s="2" t="s">
        <v>46</v>
      </c>
      <c r="C37" s="6">
        <v>46267.375</v>
      </c>
      <c r="D37" s="7" t="s">
        <v>24</v>
      </c>
      <c r="E37" s="5" t="str">
        <f>"Pendiente"</f>
        <v>Pendiente</v>
      </c>
    </row>
    <row r="38" spans="1:5" x14ac:dyDescent="0.25">
      <c r="A38" s="5">
        <v>24</v>
      </c>
      <c r="B38" s="2" t="s">
        <v>47</v>
      </c>
      <c r="C38" s="6">
        <v>46262.5</v>
      </c>
      <c r="D38" s="6">
        <v>46266.666666666701</v>
      </c>
      <c r="E38" s="5">
        <f>ROUND((D38-C38)*24,0)</f>
        <v>100</v>
      </c>
    </row>
    <row r="39" spans="1:5" x14ac:dyDescent="0.25">
      <c r="A39" s="5">
        <v>25</v>
      </c>
      <c r="B39" s="2" t="s">
        <v>48</v>
      </c>
      <c r="C39" s="6">
        <v>46265.75</v>
      </c>
      <c r="D39" s="7" t="s">
        <v>24</v>
      </c>
      <c r="E39" s="5" t="str">
        <f>"Pendiente"</f>
        <v>Pendiente</v>
      </c>
    </row>
    <row r="40" spans="1:5" x14ac:dyDescent="0.25">
      <c r="A40" s="5">
        <v>26</v>
      </c>
      <c r="B40" s="2" t="s">
        <v>49</v>
      </c>
      <c r="C40" s="6">
        <v>46265.458333333299</v>
      </c>
      <c r="D40" s="6">
        <v>46266.708333333299</v>
      </c>
      <c r="E40" s="5">
        <f>ROUND((D40-C40)*24,0)</f>
        <v>30</v>
      </c>
    </row>
    <row r="41" spans="1:5" x14ac:dyDescent="0.25">
      <c r="A41" s="5">
        <v>27</v>
      </c>
      <c r="B41" s="2" t="s">
        <v>50</v>
      </c>
      <c r="C41" s="6">
        <v>46262.708333333299</v>
      </c>
      <c r="D41" s="7" t="s">
        <v>24</v>
      </c>
      <c r="E41" s="5" t="str">
        <f>"Pendiente"</f>
        <v>Pendiente</v>
      </c>
    </row>
    <row r="42" spans="1:5" x14ac:dyDescent="0.25">
      <c r="A42" s="5">
        <v>28</v>
      </c>
      <c r="B42" s="2" t="s">
        <v>51</v>
      </c>
      <c r="C42" s="6">
        <v>46267.458333333299</v>
      </c>
      <c r="D42" s="7" t="s">
        <v>24</v>
      </c>
      <c r="E42" s="5" t="str">
        <f>"Pendiente"</f>
        <v>Pendiente</v>
      </c>
    </row>
    <row r="43" spans="1:5" x14ac:dyDescent="0.25">
      <c r="A43" s="5">
        <v>29</v>
      </c>
      <c r="B43" s="2" t="s">
        <v>52</v>
      </c>
      <c r="C43" s="6">
        <v>46266.75</v>
      </c>
      <c r="D43" s="7" t="s">
        <v>24</v>
      </c>
      <c r="E43" s="5" t="str">
        <f>"Pendiente"</f>
        <v>Pendiente</v>
      </c>
    </row>
    <row r="44" spans="1:5" x14ac:dyDescent="0.25">
      <c r="A44" s="5">
        <v>30</v>
      </c>
      <c r="B44" s="2" t="s">
        <v>53</v>
      </c>
      <c r="C44" s="6">
        <v>46266.375</v>
      </c>
      <c r="D44" s="6">
        <v>46267.5</v>
      </c>
      <c r="E44" s="5">
        <f>ROUND((D44-C44)*24,0)</f>
        <v>27</v>
      </c>
    </row>
    <row r="45" spans="1:5" x14ac:dyDescent="0.25">
      <c r="A45" s="5">
        <v>31</v>
      </c>
      <c r="B45" s="2" t="s">
        <v>54</v>
      </c>
      <c r="C45" s="6">
        <v>46266.375</v>
      </c>
      <c r="D45" s="7" t="s">
        <v>24</v>
      </c>
      <c r="E45" s="5" t="str">
        <f>"Pendiente"</f>
        <v>Pendiente</v>
      </c>
    </row>
    <row r="46" spans="1:5" x14ac:dyDescent="0.25">
      <c r="A46" s="5">
        <v>32</v>
      </c>
      <c r="B46" s="2" t="s">
        <v>55</v>
      </c>
      <c r="C46" s="6">
        <v>46266.416666666701</v>
      </c>
      <c r="D46" s="6">
        <v>46267.75</v>
      </c>
      <c r="E46" s="5">
        <f>ROUND((D46-C46)*24,0)</f>
        <v>32</v>
      </c>
    </row>
    <row r="47" spans="1:5" x14ac:dyDescent="0.25">
      <c r="A47" s="5">
        <v>33</v>
      </c>
      <c r="B47" s="2" t="s">
        <v>56</v>
      </c>
      <c r="C47" s="6">
        <v>46265.625</v>
      </c>
      <c r="D47" s="7" t="s">
        <v>24</v>
      </c>
      <c r="E47" s="5" t="str">
        <f>"Pendiente"</f>
        <v>Pendiente</v>
      </c>
    </row>
    <row r="48" spans="1:5" x14ac:dyDescent="0.25">
      <c r="A48" s="5">
        <v>34</v>
      </c>
      <c r="B48" s="2" t="s">
        <v>57</v>
      </c>
      <c r="C48" s="6">
        <v>46265.416666666701</v>
      </c>
      <c r="D48" s="7" t="s">
        <v>24</v>
      </c>
      <c r="E48" s="5" t="str">
        <f>"Pendiente"</f>
        <v>Pendiente</v>
      </c>
    </row>
    <row r="49" spans="1:5" x14ac:dyDescent="0.25">
      <c r="A49" s="5">
        <v>35</v>
      </c>
      <c r="B49" s="2" t="s">
        <v>58</v>
      </c>
      <c r="C49" s="6">
        <v>46262.458333333299</v>
      </c>
      <c r="D49" s="6">
        <v>46265.375</v>
      </c>
      <c r="E49" s="5">
        <f>ROUND((D49-C49)*24,0)</f>
        <v>70</v>
      </c>
    </row>
    <row r="50" spans="1:5" x14ac:dyDescent="0.25">
      <c r="A50" s="5">
        <v>36</v>
      </c>
      <c r="B50" s="2" t="s">
        <v>59</v>
      </c>
      <c r="C50" s="6">
        <v>46266.5</v>
      </c>
      <c r="D50" s="6">
        <v>46267.708333333299</v>
      </c>
      <c r="E50" s="5">
        <f>ROUND((D50-C50)*24,0)</f>
        <v>29</v>
      </c>
    </row>
    <row r="51" spans="1:5" x14ac:dyDescent="0.25">
      <c r="A51" s="5">
        <v>37</v>
      </c>
      <c r="B51" s="2" t="s">
        <v>60</v>
      </c>
      <c r="C51" s="6">
        <v>46262.416666666701</v>
      </c>
      <c r="D51" s="6">
        <v>46267.708333333299</v>
      </c>
      <c r="E51" s="5">
        <f>ROUND((D51-C51)*24,0)</f>
        <v>127</v>
      </c>
    </row>
    <row r="52" spans="1:5" x14ac:dyDescent="0.25">
      <c r="A52" s="5">
        <v>38</v>
      </c>
      <c r="B52" s="2" t="s">
        <v>61</v>
      </c>
      <c r="C52" s="6">
        <v>46266.75</v>
      </c>
      <c r="D52" s="6">
        <v>46267.625</v>
      </c>
      <c r="E52" s="5">
        <f>ROUND((D52-C52)*24,0)</f>
        <v>21</v>
      </c>
    </row>
    <row r="53" spans="1:5" x14ac:dyDescent="0.25">
      <c r="A53" s="5">
        <v>39</v>
      </c>
      <c r="B53" s="2" t="s">
        <v>62</v>
      </c>
      <c r="C53" s="6">
        <v>46267.625</v>
      </c>
      <c r="D53" s="7" t="s">
        <v>24</v>
      </c>
      <c r="E53" s="5" t="str">
        <f>"Pendiente"</f>
        <v>Pendiente</v>
      </c>
    </row>
    <row r="54" spans="1:5" x14ac:dyDescent="0.25">
      <c r="A54" s="5">
        <v>40</v>
      </c>
      <c r="B54" s="2" t="s">
        <v>63</v>
      </c>
      <c r="C54" s="6">
        <v>46267.666666666701</v>
      </c>
      <c r="D54" s="7" t="s">
        <v>24</v>
      </c>
      <c r="E54" s="5" t="str">
        <f>"Pendiente"</f>
        <v>Pendiente</v>
      </c>
    </row>
    <row r="55" spans="1:5" x14ac:dyDescent="0.25">
      <c r="A55" s="5">
        <v>41</v>
      </c>
      <c r="B55" s="2" t="s">
        <v>64</v>
      </c>
      <c r="C55" s="6">
        <v>46265.5</v>
      </c>
      <c r="D55" s="6">
        <v>46267.666666666701</v>
      </c>
      <c r="E55" s="5">
        <f t="shared" ref="E55:E60" si="0">ROUND((D55-C55)*24,0)</f>
        <v>52</v>
      </c>
    </row>
    <row r="56" spans="1:5" x14ac:dyDescent="0.25">
      <c r="A56" s="5">
        <v>42</v>
      </c>
      <c r="B56" s="2" t="s">
        <v>65</v>
      </c>
      <c r="C56" s="6">
        <v>46266.458333333299</v>
      </c>
      <c r="D56" s="6">
        <v>46267.5</v>
      </c>
      <c r="E56" s="5">
        <f t="shared" si="0"/>
        <v>25</v>
      </c>
    </row>
    <row r="57" spans="1:5" x14ac:dyDescent="0.25">
      <c r="A57" s="5">
        <v>43</v>
      </c>
      <c r="B57" s="2" t="s">
        <v>66</v>
      </c>
      <c r="C57" s="6">
        <v>46266.416666666701</v>
      </c>
      <c r="D57" s="6">
        <v>46267.625</v>
      </c>
      <c r="E57" s="5">
        <f t="shared" si="0"/>
        <v>29</v>
      </c>
    </row>
    <row r="58" spans="1:5" x14ac:dyDescent="0.25">
      <c r="A58" s="5">
        <v>44</v>
      </c>
      <c r="B58" s="2" t="s">
        <v>67</v>
      </c>
      <c r="C58" s="6">
        <v>46262.5</v>
      </c>
      <c r="D58" s="6">
        <v>46265.458333333299</v>
      </c>
      <c r="E58" s="5">
        <f t="shared" si="0"/>
        <v>71</v>
      </c>
    </row>
    <row r="59" spans="1:5" x14ac:dyDescent="0.25">
      <c r="A59" s="5">
        <v>45</v>
      </c>
      <c r="B59" s="2" t="s">
        <v>68</v>
      </c>
      <c r="C59" s="6">
        <v>46265.375</v>
      </c>
      <c r="D59" s="6">
        <v>46267.708333333299</v>
      </c>
      <c r="E59" s="5">
        <f t="shared" si="0"/>
        <v>56</v>
      </c>
    </row>
    <row r="60" spans="1:5" x14ac:dyDescent="0.25">
      <c r="A60" s="5">
        <v>46</v>
      </c>
      <c r="B60" s="2" t="s">
        <v>69</v>
      </c>
      <c r="C60" s="6">
        <v>46265.75</v>
      </c>
      <c r="D60" s="6">
        <v>46267.75</v>
      </c>
      <c r="E60" s="5">
        <f t="shared" si="0"/>
        <v>48</v>
      </c>
    </row>
    <row r="61" spans="1:5" x14ac:dyDescent="0.25">
      <c r="A61" s="5">
        <v>47</v>
      </c>
      <c r="B61" s="2" t="s">
        <v>70</v>
      </c>
      <c r="C61" s="6">
        <v>46262.708333333299</v>
      </c>
      <c r="D61" s="7" t="s">
        <v>24</v>
      </c>
      <c r="E61" s="5" t="str">
        <f>"Pendiente"</f>
        <v>Pendiente</v>
      </c>
    </row>
    <row r="62" spans="1:5" x14ac:dyDescent="0.25">
      <c r="A62" s="5">
        <v>48</v>
      </c>
      <c r="B62" s="2" t="s">
        <v>71</v>
      </c>
      <c r="C62" s="6">
        <v>46262.375</v>
      </c>
      <c r="D62" s="7" t="s">
        <v>24</v>
      </c>
      <c r="E62" s="5" t="str">
        <f>"Pendiente"</f>
        <v>Pendiente</v>
      </c>
    </row>
    <row r="63" spans="1:5" x14ac:dyDescent="0.25">
      <c r="A63" s="5">
        <v>49</v>
      </c>
      <c r="B63" s="2" t="s">
        <v>72</v>
      </c>
      <c r="C63" s="6">
        <v>46262.375</v>
      </c>
      <c r="D63" s="6">
        <v>46267.375</v>
      </c>
      <c r="E63" s="5">
        <f>ROUND((D63-C63)*24,0)</f>
        <v>120</v>
      </c>
    </row>
    <row r="64" spans="1:5" x14ac:dyDescent="0.25">
      <c r="A64" s="5">
        <v>50</v>
      </c>
      <c r="B64" s="2" t="s">
        <v>73</v>
      </c>
      <c r="C64" s="6">
        <v>46265.708333333299</v>
      </c>
      <c r="D64" s="7" t="s">
        <v>24</v>
      </c>
      <c r="E64" s="5" t="str">
        <f>"Pendiente"</f>
        <v>Pendiente</v>
      </c>
    </row>
    <row r="65" spans="1:5" x14ac:dyDescent="0.25">
      <c r="A65" s="5">
        <v>51</v>
      </c>
      <c r="B65" s="2" t="s">
        <v>74</v>
      </c>
      <c r="C65" s="6">
        <v>46265.708333333299</v>
      </c>
      <c r="D65" s="6">
        <v>46266.416666666701</v>
      </c>
      <c r="E65" s="5">
        <f>ROUND((D65-C65)*24,0)</f>
        <v>17</v>
      </c>
    </row>
    <row r="66" spans="1:5" x14ac:dyDescent="0.25">
      <c r="A66" s="5">
        <v>52</v>
      </c>
      <c r="B66" s="2" t="s">
        <v>75</v>
      </c>
      <c r="C66" s="6">
        <v>46265.416666666701</v>
      </c>
      <c r="D66" s="6">
        <v>46267.416666666701</v>
      </c>
      <c r="E66" s="5">
        <f>ROUND((D66-C66)*24,0)</f>
        <v>48</v>
      </c>
    </row>
    <row r="67" spans="1:5" x14ac:dyDescent="0.25">
      <c r="A67" s="5">
        <v>53</v>
      </c>
      <c r="B67" s="2" t="s">
        <v>76</v>
      </c>
      <c r="C67" s="6">
        <v>46267.458333333299</v>
      </c>
      <c r="D67" s="7" t="s">
        <v>24</v>
      </c>
      <c r="E67" s="5" t="str">
        <f>"Pendiente"</f>
        <v>Pendiente</v>
      </c>
    </row>
    <row r="68" spans="1:5" x14ac:dyDescent="0.25">
      <c r="A68" s="5">
        <v>54</v>
      </c>
      <c r="B68" s="2" t="s">
        <v>77</v>
      </c>
      <c r="C68" s="6">
        <v>46262.5</v>
      </c>
      <c r="D68" s="6">
        <v>46267.5</v>
      </c>
      <c r="E68" s="5">
        <f>ROUND((D68-C68)*24,0)</f>
        <v>120</v>
      </c>
    </row>
    <row r="69" spans="1:5" x14ac:dyDescent="0.25">
      <c r="A69" s="5">
        <v>55</v>
      </c>
      <c r="B69" s="2" t="s">
        <v>78</v>
      </c>
      <c r="C69" s="6">
        <v>46267.458333333299</v>
      </c>
      <c r="D69" s="7" t="s">
        <v>24</v>
      </c>
      <c r="E69" s="5" t="str">
        <f>"Pendiente"</f>
        <v>Pendiente</v>
      </c>
    </row>
    <row r="70" spans="1:5" x14ac:dyDescent="0.25">
      <c r="A70" s="5">
        <v>56</v>
      </c>
      <c r="B70" s="2" t="s">
        <v>79</v>
      </c>
      <c r="C70" s="6">
        <v>46266.375</v>
      </c>
      <c r="D70" s="6">
        <v>46267.458333333299</v>
      </c>
      <c r="E70" s="5">
        <f>ROUND((D70-C70)*24,0)</f>
        <v>26</v>
      </c>
    </row>
    <row r="71" spans="1:5" x14ac:dyDescent="0.25">
      <c r="A71" s="5">
        <v>57</v>
      </c>
      <c r="B71" s="2" t="s">
        <v>80</v>
      </c>
      <c r="C71" s="6">
        <v>46262.666666666701</v>
      </c>
      <c r="D71" s="6">
        <v>46266.75</v>
      </c>
      <c r="E71" s="5">
        <f>ROUND((D71-C71)*24,0)</f>
        <v>98</v>
      </c>
    </row>
    <row r="73" spans="1:5" ht="15" customHeight="1" x14ac:dyDescent="0.25">
      <c r="A73" s="14" t="s">
        <v>81</v>
      </c>
      <c r="B73" s="14"/>
      <c r="C73" s="14"/>
      <c r="D73" s="14"/>
      <c r="E73" s="14"/>
    </row>
    <row r="75" spans="1:5" x14ac:dyDescent="0.25">
      <c r="A75" s="12" t="s">
        <v>82</v>
      </c>
      <c r="B75" s="12"/>
      <c r="C75" s="12"/>
      <c r="D75" s="12"/>
      <c r="E75" s="12"/>
    </row>
    <row r="76" spans="1:5" x14ac:dyDescent="0.25">
      <c r="A76" s="8" t="s">
        <v>83</v>
      </c>
      <c r="B76" s="15" t="s">
        <v>84</v>
      </c>
      <c r="C76" s="15"/>
      <c r="D76" s="15"/>
      <c r="E76" s="15"/>
    </row>
    <row r="77" spans="1:5" ht="52.15" customHeight="1" x14ac:dyDescent="0.25">
      <c r="A77" s="9" t="s">
        <v>85</v>
      </c>
      <c r="B77" s="16" t="s">
        <v>86</v>
      </c>
      <c r="C77" s="16"/>
      <c r="D77" s="16"/>
      <c r="E77" s="16"/>
    </row>
    <row r="78" spans="1:5" ht="77.650000000000006" customHeight="1" x14ac:dyDescent="0.25">
      <c r="A78" s="9" t="s">
        <v>87</v>
      </c>
      <c r="B78" s="16" t="s">
        <v>88</v>
      </c>
      <c r="C78" s="16"/>
      <c r="D78" s="16"/>
      <c r="E78" s="16"/>
    </row>
    <row r="79" spans="1:5" ht="36" x14ac:dyDescent="0.25">
      <c r="A79" s="10" t="s">
        <v>89</v>
      </c>
    </row>
    <row r="81" spans="1:6" x14ac:dyDescent="0.25">
      <c r="A81" s="12" t="s">
        <v>90</v>
      </c>
      <c r="B81" s="12"/>
      <c r="C81" s="12"/>
      <c r="D81" s="12"/>
      <c r="E81" s="12"/>
    </row>
    <row r="82" spans="1:6" ht="30" customHeight="1" x14ac:dyDescent="0.25">
      <c r="A82" s="13" t="s">
        <v>91</v>
      </c>
      <c r="B82" s="13"/>
      <c r="C82" s="13"/>
      <c r="D82" s="22">
        <f>ROUND(AVERAGE(E15:E71),1)</f>
        <v>53.9</v>
      </c>
      <c r="E82" s="22"/>
      <c r="F82" t="s">
        <v>93</v>
      </c>
    </row>
    <row r="84" spans="1:6" x14ac:dyDescent="0.25">
      <c r="A84" s="11" t="s">
        <v>92</v>
      </c>
    </row>
  </sheetData>
  <mergeCells count="18">
    <mergeCell ref="A1:E1"/>
    <mergeCell ref="A2:E2"/>
    <mergeCell ref="B4:C4"/>
    <mergeCell ref="B5:E5"/>
    <mergeCell ref="B6:E6"/>
    <mergeCell ref="B7:E7"/>
    <mergeCell ref="B8:C8"/>
    <mergeCell ref="A10:E10"/>
    <mergeCell ref="A11:E11"/>
    <mergeCell ref="A13:E13"/>
    <mergeCell ref="A81:E81"/>
    <mergeCell ref="A82:C82"/>
    <mergeCell ref="D82:E82"/>
    <mergeCell ref="A73:E73"/>
    <mergeCell ref="A75:E75"/>
    <mergeCell ref="B76:E76"/>
    <mergeCell ref="B77:E77"/>
    <mergeCell ref="B78:E7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Gianpierre Camacho</cp:lastModifiedBy>
  <cp:revision>0</cp:revision>
  <dcterms:created xsi:type="dcterms:W3CDTF">2026-09-03T00:36:39Z</dcterms:created>
  <dcterms:modified xsi:type="dcterms:W3CDTF">2026-09-03T01:34:44Z</dcterms:modified>
  <dc:language>en-US</dc:language>
</cp:coreProperties>
</file>